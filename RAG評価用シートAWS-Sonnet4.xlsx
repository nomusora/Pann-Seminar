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petifusa/Desktop/"/>
    </mc:Choice>
  </mc:AlternateContent>
  <xr:revisionPtr revIDLastSave="0" documentId="13_ncr:1_{6331F46A-904B-CC4C-BD11-F8A0FC5A180E}" xr6:coauthVersionLast="47" xr6:coauthVersionMax="47" xr10:uidLastSave="{00000000-0000-0000-0000-000000000000}"/>
  <bookViews>
    <workbookView xWindow="0" yWindow="660" windowWidth="30240" windowHeight="18980" xr2:uid="{E63D8CF7-E6BB-A24E-97FA-C2ECB62409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 r="F17" i="1"/>
  <c r="E17" i="1"/>
</calcChain>
</file>

<file path=xl/sharedStrings.xml><?xml version="1.0" encoding="utf-8"?>
<sst xmlns="http://schemas.openxmlformats.org/spreadsheetml/2006/main" count="59" uniqueCount="58">
  <si>
    <t>id</t>
    <phoneticPr fontId="1"/>
  </si>
  <si>
    <t>質問文</t>
    <rPh sb="0" eb="2">
      <t xml:space="preserve">シツモンブン </t>
    </rPh>
    <rPh sb="2" eb="3">
      <t xml:space="preserve">ブンショウ </t>
    </rPh>
    <phoneticPr fontId="1"/>
  </si>
  <si>
    <t>RAGからの回答</t>
    <rPh sb="6" eb="8">
      <t xml:space="preserve">カイトウ </t>
    </rPh>
    <phoneticPr fontId="1"/>
  </si>
  <si>
    <t xml:space="preserve">株式会社チアリーでの実習は「今後のRoblox展開のサポート・提案」をテーマとして行われました。実習生は2年生の清田李春さんと吉田睦希さんが参加しました。[1]  
具体的な実習内容として、学生の見本となるようなゲーム製作を行いました。これはRoblox講座を行う際に、実習生が作成したゲームを見本として使用してもらうため、学生達が講座内で習った基本的なプログラムだけで作れるゲームを製作するものでした。[2]  
また、AIのリクエストプログラムの検討も行いました。これは学生達がChatGPT等のAIを使って質問を行いそうなプログラムを検討する内容でした。さらに、学生向けの講座の中で紹介するサンプルゲームの作成も実習内容に含まれていました。[3]
</t>
    <phoneticPr fontId="1"/>
  </si>
  <si>
    <t>株式会社チアリーの実習内容について教えてください</t>
    <phoneticPr fontId="1"/>
  </si>
  <si>
    <t>正確性</t>
    <rPh sb="0" eb="3">
      <t xml:space="preserve">セイカクセイ </t>
    </rPh>
    <phoneticPr fontId="1"/>
  </si>
  <si>
    <t>網羅性</t>
    <rPh sb="0" eb="2">
      <t xml:space="preserve">モウラセイ </t>
    </rPh>
    <rPh sb="2" eb="3">
      <t xml:space="preserve">セイ </t>
    </rPh>
    <phoneticPr fontId="1"/>
  </si>
  <si>
    <t>わかりやすさ</t>
    <phoneticPr fontId="1"/>
  </si>
  <si>
    <t>予想回答メモ</t>
    <rPh sb="0" eb="2">
      <t xml:space="preserve">ヨソウカイトウ </t>
    </rPh>
    <rPh sb="2" eb="4">
      <t xml:space="preserve">カイトウ </t>
    </rPh>
    <phoneticPr fontId="1"/>
  </si>
  <si>
    <t>roblox,chatGPT,ゲーム開発,パソコン教室</t>
    <phoneticPr fontId="1"/>
  </si>
  <si>
    <t>株式会社ラネクシーでの実習内容は「教育メタバース」コンテンツの開発でした。具体的には、3Dスキャナや360度カメラの習得と使い方の要約、教育メタバースのコンテンツ作成、教育やメタバースのコンテンツの市場調査を行いました。
実習生は実際にPCの組み立てを学べるメタバース教育コンテンツを作成し、3Dモデリングや素材作成にも取り組みました。また、スキャナやカメラの使い方についての報告書の提出も行いました。
実習は対面とオンラインの形式で行われ、オンラインでの実習が多めでした。実習時間は朝礼後の09:30から17:30までで、12:00から13:00が休憩時間となっていました。</t>
    <phoneticPr fontId="1"/>
  </si>
  <si>
    <t>株式会社ラネクシーの実習内容について教えてください</t>
    <phoneticPr fontId="1"/>
  </si>
  <si>
    <t>メタバース、３Dスキャナ、3Dモデリング、360度カメラ</t>
    <rPh sb="24" eb="25">
      <t xml:space="preserve">ド </t>
    </rPh>
    <phoneticPr fontId="1"/>
  </si>
  <si>
    <t>富士フィルムの実習内容について教えてください</t>
    <rPh sb="0" eb="2">
      <t xml:space="preserve">フジフィルム </t>
    </rPh>
    <phoneticPr fontId="1"/>
  </si>
  <si>
    <t>kintone,アプリ開発、営業</t>
    <rPh sb="14" eb="16">
      <t xml:space="preserve">エイギョウ </t>
    </rPh>
    <phoneticPr fontId="1"/>
  </si>
  <si>
    <t>富士フィルムビジネスイノベーションジャパン株式会社（略称：富士フイルムBIジャパン）での実習内容は以下の通りです。営業同行では先輩社員に同行して実際にお客様のもとに伺い、ヒアリングを行う実習が含まれていました。また、kintoneを使ったアプリ開発も主要な実習内容で、メニュー管理アプリ、オーダー登録アプリ、スタッフ管理アプリ、勤怠管理アプリ、食材管理アプリ、レシピ管理アプリ、仕入管理アプリなど複数のアプリを開発しました。
実習生は社会人に必要なスキルを身につけ、職業理解を深めて進路研究に繋げることを目的として、SEの仕事体験も行いました。実習期間は5週間にわたって実施され、実習生からは社会人としての心構えや立ち振る舞いを学べる貴重な機会であったとの評価を得ています。</t>
    <phoneticPr fontId="1"/>
  </si>
  <si>
    <t>新潟市役所の実習内容について教えてください</t>
    <rPh sb="2" eb="5">
      <t xml:space="preserve">シヤクショ </t>
    </rPh>
    <phoneticPr fontId="1"/>
  </si>
  <si>
    <t>はデジタル業務推進課、情報システム課、kintone、ローコードツール、RPA、自動化</t>
    <phoneticPr fontId="1"/>
  </si>
  <si>
    <t>新潟市役所での実習は、デジタル行政推進課、情報システム課、保険年金課の3つの部署で行われました。第1週はデジタル行政推進課と情報システム課で業務説明と生成AI研修を受け、第2週はKintoneやe-NIIGATAなどのローコードツールや電子申請システム関連の業務に携わりました。
第3週以降は保険年金課でWinActorを用いた保険料滞納者に関する業務の自動化に取り組みました。具体的には、業務の流れを理解した上でエミュレーションによるマウスやキーボード操作、画像マッチングによる画面やタブの遷移を行い、RPAシナリオを作成しました。
実習の目的は、人材不足が深刻化している現状で業務の効率化・自動化により、不足している人材や時間などのコストを削減することでした。実習を通じて業務自動化の基本的な使い方とその利便性を理解し、技術的な応用力や問題解決能力を磨くことができました。</t>
    <phoneticPr fontId="1"/>
  </si>
  <si>
    <t>株式会社幻の酒の実習内容について教えてください</t>
    <rPh sb="0" eb="4">
      <t xml:space="preserve">カブシキガイシャ </t>
    </rPh>
    <rPh sb="4" eb="5">
      <t xml:space="preserve">マボロシノサケ </t>
    </rPh>
    <phoneticPr fontId="1"/>
  </si>
  <si>
    <t>e-コマース、ECサイト、日本酒</t>
    <phoneticPr fontId="1"/>
  </si>
  <si>
    <t>株式会社幻の酒での実習内容は、知名度向上のためのワード選定と商品データの書き換えでした。具体的には、ECサイトでの販売促進を目的として、買い物客がどのようなキーワードを使って商品を見つけているかを分析し、検索結果で上位に表示されるようにして買い物客の目に止まりやすくする取り組みを行いました。
実習先である株式会社幻の酒は、ネット通販に特化した贈答専門の日本酒販売会社で、e-コマースへの積極的な取組みを行っており、商品のストーリー、瓶の仕入れ、ラベルデザイン、パッケージなど全て酒蔵さんと交渉して企画している特徴的な取り組みを行っています。</t>
    <phoneticPr fontId="1"/>
  </si>
  <si>
    <t>株式会社メビウスの実習内容について教えてください</t>
    <rPh sb="0" eb="4">
      <t xml:space="preserve">カブシキガイシャ </t>
    </rPh>
    <phoneticPr fontId="1"/>
  </si>
  <si>
    <t>株式会社メビウスでの実習内容は、バイオインフォマティクス技術者試験の1問1答アプリケーションの修正がテーマとなっていました。実習生は高橋昴成さん（2年生）で、指導責任者は小梶金志郎氏と関口裕太氏が担当していました。
株式会社メビウスは「ITで笑顔の輪を広げる」という企業理念を掲げ、業務システム開発・保守運用から先端技術・バイオインフォマティクス・DX推進まで幅広い業務を行っています。実習先の「バイオサイエンス本部」では、生物学と情報学の専門技術者で構成されており、実習生はこの部門で実務経験を積むことができました。</t>
    <phoneticPr fontId="1"/>
  </si>
  <si>
    <t>アプリ開発、ユーザー視点、Power Automate、アプリケーションの修正</t>
    <rPh sb="10" eb="12">
      <t xml:space="preserve">シテン </t>
    </rPh>
    <phoneticPr fontId="1"/>
  </si>
  <si>
    <t>株式会社 新潟⼈⼯知能研究所の実習内容について教えてください</t>
    <phoneticPr fontId="1"/>
  </si>
  <si>
    <t>株式会社新潟人工知能研究所での実習内容は、生成AI開発プロジェクトをテーマとして行われました。実習期間は2024年9月24日から11月1日までの約6週間で、基本的にリモート形式で実施されました。
具体的な実習内容として、1週目は技術トレーニング（地元紹介のシンプルウェブページ作成、生成AIに関する教材開発、生成AIサービス比較分析など）、2週目はAI言語モデル（LLM）の学習プロセスを説明するパワーポイントスライドの作成、自動運転に関する中高生向け動画教材の台本作成、音楽生成AIプロジェクト、3週目は俯瞰型レースゲーム開発プロジェクト、難読文字対応OCR実装プロジェクト、4週目は画像生成AIプロジェクト、動画生成AIサービスの調査、5週目は3Dモデル生成AIサービスの調査、自動走行機能付き俯瞰型レースゲーム開発プロジェクト、6週目はAIレッスンアイデア提案依頼書、最終報告会・まとめが行われました。
特に動画生成AIサービスの調査では、Pictory.AIやInviedo AIなどのツールを使用して、大学の紹介動画作成や自然豊かな村を旅する若者の物語の動画生成などを行い、各サービスの特徴、性能、使いやすさ、実用性を評価しました。</t>
    <phoneticPr fontId="1"/>
  </si>
  <si>
    <t>AI,LLM、動画⽣成AIサービス、⾃動⾛⾏機能付き俯瞰型レースゲーム開発プロジェクト、Visual Studio Code(HTML ,CSS, JavaScript)</t>
    <phoneticPr fontId="1"/>
  </si>
  <si>
    <t>リコージャパン株式会社の実習内容について教えてください</t>
    <phoneticPr fontId="1"/>
  </si>
  <si>
    <t>リコージャパン株式会社での実習では、主に以下の4つの内容が実施されました：
1. アプリ制作：作業日報、顧客管理、インシデント管理、減価償却の4つのアプリをKintoneやExcelなど様々なサービスや媒体を駆使して開発しました。
2. プレゼン講座：リコー独自のプレゼン講座を午前午後に分けて実施。午前は相手により伝えるプレゼンテーションについて、午後はより見やすくわかりやすいパワーポイントについて学習しました。
3. 営業同行：営業部の方に同行し、商談の様子を間近で体験。訪問先は高等学校や専門学校の事務部でした。
4. Kintoneと生成AIを活用した調査・開発：Kintoneと様々なアプリやサイトを連携し、生成AIを導入した場合の可能性について調査を行いました。具体的にはKintone×Excel×chatGPT、Kintone×teams×chatGPT、Kintone×ChatGPTなどの組み合わせを検討しました。</t>
    <phoneticPr fontId="1"/>
  </si>
  <si>
    <t>Kintone、Excel、生成AI、ノーコード、</t>
    <rPh sb="14" eb="16">
      <t xml:space="preserve">セイセイ </t>
    </rPh>
    <phoneticPr fontId="1"/>
  </si>
  <si>
    <t>株式会社博進堂の実習内容について教えてください</t>
    <rPh sb="0" eb="4">
      <t xml:space="preserve">カブシキガイシャ </t>
    </rPh>
    <phoneticPr fontId="1"/>
  </si>
  <si>
    <t>株式会社博進堂の実習内容は、外注を社内ウェブで工程管理するシステムの提案をテーマとしたものでした。現在、企業や団体向けの商業印刷等を行っているが、内容によっては外注することになり、外注は社内ウェブでは管理できていない状態で、外部のソフトウェアで管理している状況が背景にありました。
具体的な実習内容として、主に以下の業務を行いました：1）社員の方々への取材、2）HTMLを使った画面の作成、3）その他の業務の補助（本の整理と運搬、本の保存作業）、4）イベント運営の補助（東区オープンファクトリーでのお客様のご案内、他の企業様方への見学）。
システム提案では、外注管理、外注納品確認、全体管理を「外注」でまとめ、ケース、シルク、抜き、貼り箱、凸版、製本、加工、印刷のボタンで設計しました。処理の流れは「外注待ち→伝票登録→外注を出す→外注を出中→外注済み」となっており、工場の人が「外注を納品しました」という流れを入力し確認できる画面も設計しました。また、teamsを使った納期リマインダー機能の提案も行いました。</t>
    <phoneticPr fontId="1"/>
  </si>
  <si>
    <t>外注、社内Web、データベース、外注管理</t>
    <rPh sb="0" eb="2">
      <t xml:space="preserve">ガイチュウ </t>
    </rPh>
    <rPh sb="3" eb="5">
      <t xml:space="preserve">シャナイ </t>
    </rPh>
    <rPh sb="16" eb="20">
      <t xml:space="preserve">ガイチュウカンリ </t>
    </rPh>
    <phoneticPr fontId="1"/>
  </si>
  <si>
    <t>五泉市役所の実習内容について教えてください</t>
    <rPh sb="0" eb="5">
      <t xml:space="preserve">ゴセンシヤクショ </t>
    </rPh>
    <phoneticPr fontId="1"/>
  </si>
  <si>
    <t>五泉市役所での実習は企画政策課に配属され、RPAツール「WinActor」を使用した業務自動化に取り組みました。企画政策課では地域の活性化、移住促進、公共交通、ふるさと納税、DXなど様々な業務を行っています。
実習では2つのシナリオ（自動化手順書）を作成しました。1つ目はメールを一括保存・削除するシナリオで、メールソフトが一括選択できないため手作業が手間だった作業を楽にすることを目的としました。2つ目はふるさと納税のデータをダウンロードしてエクセルに転記するシナリオで、職員の仕事負担を減らし迅速かつ正確にデータを管理することを目的としました。
実習を通じて、業務に役立つ技術や礼儀、コミュニケーション能力を向上させることができました。市役所の親しみやすい環境で、分からないことをその都度聞くことや、失敗を恐れず挑戦することの重要性を学び、市民の視点を持ちながら業務を改善する姿勢に感銘を受けました。</t>
    <phoneticPr fontId="1"/>
  </si>
  <si>
    <t>RPA、WinActor、シナリオ作成、</t>
    <phoneticPr fontId="1"/>
  </si>
  <si>
    <t>株式会社ギルドの実習内容について教えてください</t>
    <rPh sb="0" eb="4">
      <t xml:space="preserve">カブシキガイシャ </t>
    </rPh>
    <phoneticPr fontId="1"/>
  </si>
  <si>
    <t>の実習内容について教えてください</t>
    <phoneticPr fontId="1"/>
  </si>
  <si>
    <t>株式会社ギルドでの実習内容は、エンジニアマッチングサービス改善のための調査が中心でした。実習生の糸賀透也さん（2年）が参加し、マッチングサービスの最適化と登録者増加を目的として実習が行われました。
具体的な実習内容として、3つの主要な調査が実施されました。1つ目は信用スコア調査で、様々なデータから個人の信用度を数値化するシステムがどのように活用されているかを把握する調査でした。2つ目はマッチングアルゴリズム調査で、エンジニアとクライアントの最適なマッチングを実現するアルゴリズムの選定に関する調査でした。3つ目はGoogle Analytics4調査で、Webアクセス解析ツールで測定できるデータの範囲や設定により取得可能なデータについて把握する調査でした。</t>
    <phoneticPr fontId="1"/>
  </si>
  <si>
    <t>Google Analytics4、HTML、マッチングアルゴリズム、</t>
    <phoneticPr fontId="1"/>
  </si>
  <si>
    <t>株式会社ドリームアドバンスの実習内容について教えてください</t>
    <rPh sb="0" eb="4">
      <t>カブシ</t>
    </rPh>
    <phoneticPr fontId="1"/>
  </si>
  <si>
    <t>株式会社ドリームアドバンスでの実習内容は、公式LINE導入の検討と出席管理システムの改善がテーマでした。実習生は齋藤拓さんと矢島美優さんが参加し、指導責任者は石本幸子さん、担当教員は柄沢直之さんでした。
具体的な実習活動として、毎年開催しているハロウィンイベントの企画を行い、HTML言語を使って10秒チャレンジゲームを実装しました。実習先は、10科目以上の習い事を提供するワンストップ型習い事教室を運営しており、一人ひとりに合わせた選べる習い事が特徴で、子供たちの自主性を大切にする基本方針を持っています。</t>
    <phoneticPr fontId="1"/>
  </si>
  <si>
    <t>プログラミング授業、KOOV、HTML、ハロウィンイベント、</t>
    <phoneticPr fontId="1"/>
  </si>
  <si>
    <t>株式会社システムコンシェルジュでの実習は「技術の習得（社内での業務）」と「技能の体得（現場での業務）」の二つを目的として行われました。実習生はネットワークインフラや実際の仕事について理解を深めるため、実際に機器に触れながら多くの現場に足を運んで実習を行いました。
具体的な実習内容は5週間にわたって実施され、1週目はコンプライアンスや情報セキュリティの教材視聴、会社・部署説明、LANケーブル作成、SWのキッティング説明が行われました。2週目は業務知識の説明、AP・RTのキッティング説明、ネットワーク構成図の作成、3週目は実際の機器を使用したVPNの学習と現場作業、4週目はネットワーク技術の機能説明、Spanning-treeの学習、基本設計書の作成・修正、5週目はポート表・ネットワーク構成図・設置機器一覧表の作成、現場作業、最終報告資料作成、活動報告会が実施されました。
実習の成果として、座学・検証・ネットワーク構成資料の作成と現場での活動を通じて技術と技能の両面を習得し、現場での対応力や機器の扱い方を身につけることができました。実習生は客観的に自身の能力を見つめ直すきっかけとなり、成長を実感できたと報告しています。</t>
    <phoneticPr fontId="1"/>
  </si>
  <si>
    <t>ネットワーク、インフラ、LANケーブル作成、ネットワーク構成図</t>
    <phoneticPr fontId="1"/>
  </si>
  <si>
    <t>ソリマチ株式会社の実習内容について教えてください</t>
    <rPh sb="4" eb="8">
      <t xml:space="preserve">カブシキガイシャ </t>
    </rPh>
    <phoneticPr fontId="1"/>
  </si>
  <si>
    <t>ソリマチ株式会社での実習内容は、OCRによる書類分類WEBアプリ開発をテーマとしていました。具体的には、証憑管理システムの研究、開発、運用に関する業務で、OCR処理した画像の分類を行い、OCR処理の結果を分析して精度向上を図ることが主な内容でした。</t>
    <phoneticPr fontId="1"/>
  </si>
  <si>
    <t>Django、WEBアプリ開発、OCR、WEBアプリ</t>
    <phoneticPr fontId="1"/>
  </si>
  <si>
    <t>株式会社ブレインジェネシスの実習内容について教えてください</t>
    <rPh sb="0" eb="4">
      <t>カブシ</t>
    </rPh>
    <phoneticPr fontId="1"/>
  </si>
  <si>
    <t>ソフトウェア開発、名称曖昧検索ツール</t>
    <phoneticPr fontId="1"/>
  </si>
  <si>
    <t>株式会社ブレインジェネシスでの実習内容は「名称曖昧検索ツールの開発」でした。この実習では、ソフトウェアの開発工程のうち、設計書の作成、プログラミング、企業内での実機テストの実施を行いました。
実習の背景として、同社が提供するSuperXというソフトウェアにおいて、SuperX02からSuperX03への全面的な再設計により、システムの設定区分の名称が変更されました。これにより、システム導入を行うSEが設定変更方法や02と03での設定対応を理解しにくくなったため、SuperX02の大区分小区分からSuperX03の対応する大区分小区分を検索するツールの開発が求められていました。
実習の目的は、業務を行う中で作業効率の向上化を目指したプログラムの作成を通じて、実社会で必要な知識や技術を身に着けることでした。</t>
    <phoneticPr fontId="1"/>
  </si>
  <si>
    <t>点数合計</t>
    <rPh sb="0" eb="2">
      <t xml:space="preserve">テンスウ </t>
    </rPh>
    <rPh sb="2" eb="4">
      <t xml:space="preserve">ゴウケイ </t>
    </rPh>
    <phoneticPr fontId="1"/>
  </si>
  <si>
    <t>27/30</t>
    <phoneticPr fontId="1"/>
  </si>
  <si>
    <t>26/30</t>
    <phoneticPr fontId="1"/>
  </si>
  <si>
    <t>正確性 90%</t>
    <rPh sb="0" eb="3">
      <t xml:space="preserve">セイカクセイ </t>
    </rPh>
    <phoneticPr fontId="1"/>
  </si>
  <si>
    <t>網羅性 90%</t>
    <rPh sb="0" eb="3">
      <t xml:space="preserve">モウラセイ </t>
    </rPh>
    <phoneticPr fontId="1"/>
  </si>
  <si>
    <t>わかりやすさ
86.6..%</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</si>
</sst>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9" fontId="0" fillId="0" borderId="0" xfId="0" applyNumberFormat="1" applyAlignment="1">
      <alignment horizontal="center" vertical="center"/>
    </xf>
    <xf numFmtId="0" fontId="0" fillId="0" borderId="0" xfId="0"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259C9-4B5C-9740-8A79-5655047D073E}">
  <dimension ref="A1:G31"/>
  <sheetViews>
    <sheetView tabSelected="1" topLeftCell="A9" workbookViewId="0">
      <selection activeCell="D15" sqref="D15"/>
    </sheetView>
  </sheetViews>
  <sheetFormatPr baseColWidth="10" defaultRowHeight="20"/>
  <cols>
    <col min="1" max="1" width="3.28515625" customWidth="1"/>
    <col min="2" max="2" width="46.85546875" customWidth="1"/>
    <col min="3" max="3" width="56.5703125" customWidth="1"/>
    <col min="4" max="4" width="48.5703125" customWidth="1"/>
    <col min="7" max="7" width="11.5703125" customWidth="1"/>
  </cols>
  <sheetData>
    <row r="1" spans="1:7">
      <c r="A1" t="s">
        <v>0</v>
      </c>
      <c r="B1" t="s">
        <v>1</v>
      </c>
      <c r="C1" t="s">
        <v>8</v>
      </c>
      <c r="D1" t="s">
        <v>2</v>
      </c>
      <c r="E1" t="s">
        <v>5</v>
      </c>
      <c r="F1" t="s">
        <v>6</v>
      </c>
      <c r="G1" t="s">
        <v>7</v>
      </c>
    </row>
    <row r="2" spans="1:7" ht="70" customHeight="1">
      <c r="A2">
        <v>1</v>
      </c>
      <c r="B2" t="s">
        <v>4</v>
      </c>
      <c r="C2" t="s">
        <v>9</v>
      </c>
      <c r="D2" s="1" t="s">
        <v>3</v>
      </c>
      <c r="E2">
        <v>2</v>
      </c>
      <c r="F2">
        <v>2</v>
      </c>
      <c r="G2">
        <v>2</v>
      </c>
    </row>
    <row r="3" spans="1:7" ht="70" customHeight="1">
      <c r="A3">
        <v>2</v>
      </c>
      <c r="B3" t="s">
        <v>13</v>
      </c>
      <c r="C3" t="s">
        <v>14</v>
      </c>
      <c r="D3" s="1" t="s">
        <v>15</v>
      </c>
      <c r="E3">
        <v>2</v>
      </c>
      <c r="F3">
        <v>2</v>
      </c>
      <c r="G3">
        <v>2</v>
      </c>
    </row>
    <row r="4" spans="1:7" ht="70" customHeight="1">
      <c r="A4">
        <v>3</v>
      </c>
      <c r="B4" t="s">
        <v>11</v>
      </c>
      <c r="C4" t="s">
        <v>12</v>
      </c>
      <c r="D4" s="1" t="s">
        <v>10</v>
      </c>
      <c r="E4">
        <v>2</v>
      </c>
      <c r="F4">
        <v>2</v>
      </c>
      <c r="G4">
        <v>2</v>
      </c>
    </row>
    <row r="5" spans="1:7" ht="70" customHeight="1">
      <c r="A5">
        <v>4</v>
      </c>
      <c r="B5" t="s">
        <v>16</v>
      </c>
      <c r="C5" t="s">
        <v>17</v>
      </c>
      <c r="D5" s="1" t="s">
        <v>18</v>
      </c>
      <c r="E5">
        <v>2</v>
      </c>
      <c r="F5">
        <v>2</v>
      </c>
      <c r="G5">
        <v>2</v>
      </c>
    </row>
    <row r="6" spans="1:7" ht="70" customHeight="1">
      <c r="A6">
        <v>5</v>
      </c>
      <c r="B6" t="s">
        <v>19</v>
      </c>
      <c r="C6" t="s">
        <v>20</v>
      </c>
      <c r="D6" s="1" t="s">
        <v>21</v>
      </c>
      <c r="E6">
        <v>2</v>
      </c>
      <c r="F6">
        <v>2</v>
      </c>
      <c r="G6">
        <v>2</v>
      </c>
    </row>
    <row r="7" spans="1:7" ht="70" customHeight="1">
      <c r="B7" t="s">
        <v>22</v>
      </c>
      <c r="C7" t="s">
        <v>24</v>
      </c>
      <c r="D7" s="1" t="s">
        <v>23</v>
      </c>
      <c r="E7">
        <v>1</v>
      </c>
      <c r="F7">
        <v>1</v>
      </c>
      <c r="G7">
        <v>2</v>
      </c>
    </row>
    <row r="8" spans="1:7" ht="70" customHeight="1">
      <c r="A8">
        <v>7</v>
      </c>
      <c r="B8" t="s">
        <v>25</v>
      </c>
      <c r="C8" t="s">
        <v>27</v>
      </c>
      <c r="D8" s="1" t="s">
        <v>26</v>
      </c>
      <c r="E8">
        <v>2</v>
      </c>
      <c r="F8">
        <v>2</v>
      </c>
      <c r="G8">
        <v>1</v>
      </c>
    </row>
    <row r="9" spans="1:7" ht="70" customHeight="1">
      <c r="A9">
        <v>8</v>
      </c>
      <c r="B9" t="s">
        <v>28</v>
      </c>
      <c r="C9" t="s">
        <v>30</v>
      </c>
      <c r="D9" s="1" t="s">
        <v>29</v>
      </c>
      <c r="E9">
        <v>2</v>
      </c>
      <c r="F9">
        <v>2</v>
      </c>
      <c r="G9">
        <v>2</v>
      </c>
    </row>
    <row r="10" spans="1:7" ht="70" customHeight="1">
      <c r="A10">
        <v>9</v>
      </c>
      <c r="B10" t="s">
        <v>31</v>
      </c>
      <c r="C10" t="s">
        <v>33</v>
      </c>
      <c r="D10" s="1" t="s">
        <v>32</v>
      </c>
      <c r="E10">
        <v>2</v>
      </c>
      <c r="F10">
        <v>2</v>
      </c>
      <c r="G10">
        <v>1</v>
      </c>
    </row>
    <row r="11" spans="1:7" ht="70" customHeight="1">
      <c r="A11">
        <v>10</v>
      </c>
      <c r="B11" t="s">
        <v>34</v>
      </c>
      <c r="C11" t="s">
        <v>36</v>
      </c>
      <c r="D11" s="1" t="s">
        <v>35</v>
      </c>
      <c r="E11">
        <v>1</v>
      </c>
      <c r="F11">
        <v>2</v>
      </c>
      <c r="G11">
        <v>1</v>
      </c>
    </row>
    <row r="12" spans="1:7" ht="70" customHeight="1">
      <c r="A12">
        <v>11</v>
      </c>
      <c r="B12" t="s">
        <v>37</v>
      </c>
      <c r="C12" t="s">
        <v>40</v>
      </c>
      <c r="D12" s="1" t="s">
        <v>39</v>
      </c>
      <c r="E12">
        <v>2</v>
      </c>
      <c r="F12">
        <v>1</v>
      </c>
      <c r="G12">
        <v>2</v>
      </c>
    </row>
    <row r="13" spans="1:7" ht="70" customHeight="1">
      <c r="A13">
        <v>12</v>
      </c>
      <c r="B13" t="s">
        <v>41</v>
      </c>
      <c r="C13" t="s">
        <v>43</v>
      </c>
      <c r="D13" s="1" t="s">
        <v>42</v>
      </c>
      <c r="E13">
        <v>2</v>
      </c>
      <c r="F13">
        <v>2</v>
      </c>
      <c r="G13">
        <v>2</v>
      </c>
    </row>
    <row r="14" spans="1:7" ht="70" customHeight="1">
      <c r="A14">
        <v>13</v>
      </c>
      <c r="B14" t="s">
        <v>38</v>
      </c>
      <c r="C14" t="s">
        <v>45</v>
      </c>
      <c r="D14" s="1" t="s">
        <v>44</v>
      </c>
      <c r="E14">
        <v>2</v>
      </c>
      <c r="F14">
        <v>2</v>
      </c>
      <c r="G14">
        <v>2</v>
      </c>
    </row>
    <row r="15" spans="1:7" ht="70" customHeight="1">
      <c r="A15">
        <v>14</v>
      </c>
      <c r="B15" t="s">
        <v>46</v>
      </c>
      <c r="C15" t="s">
        <v>48</v>
      </c>
      <c r="D15" s="1" t="s">
        <v>47</v>
      </c>
      <c r="E15">
        <v>1</v>
      </c>
      <c r="F15">
        <v>1</v>
      </c>
      <c r="G15">
        <v>1</v>
      </c>
    </row>
    <row r="16" spans="1:7" ht="70" customHeight="1">
      <c r="A16">
        <v>15</v>
      </c>
      <c r="B16" t="s">
        <v>49</v>
      </c>
      <c r="C16" t="s">
        <v>50</v>
      </c>
      <c r="D16" s="1" t="s">
        <v>51</v>
      </c>
      <c r="E16">
        <v>2</v>
      </c>
      <c r="F16">
        <v>2</v>
      </c>
      <c r="G16">
        <v>2</v>
      </c>
    </row>
    <row r="17" spans="1:7" ht="70" customHeight="1">
      <c r="D17" s="1" t="s">
        <v>52</v>
      </c>
      <c r="E17">
        <f>SUM(E2:E16)</f>
        <v>27</v>
      </c>
      <c r="F17">
        <f>(SUM(F2:F16))</f>
        <v>27</v>
      </c>
      <c r="G17">
        <f>(SUM(G2:G16))</f>
        <v>26</v>
      </c>
    </row>
    <row r="18" spans="1:7" ht="70" customHeight="1">
      <c r="E18" s="2" t="s">
        <v>53</v>
      </c>
      <c r="F18" s="2" t="s">
        <v>53</v>
      </c>
      <c r="G18" s="2" t="s">
        <v>54</v>
      </c>
    </row>
    <row r="19" spans="1:7" ht="70" customHeight="1">
      <c r="E19" s="3" t="s">
        <v>55</v>
      </c>
      <c r="F19" s="3" t="s">
        <v>56</v>
      </c>
      <c r="G19" s="4" t="s">
        <v>57</v>
      </c>
    </row>
    <row r="20" spans="1:7" ht="70" customHeight="1"/>
    <row r="21" spans="1:7" ht="70" customHeight="1"/>
    <row r="22" spans="1:7" ht="70" customHeight="1"/>
    <row r="23" spans="1:7" ht="70" customHeight="1">
      <c r="A23">
        <v>22</v>
      </c>
    </row>
    <row r="24" spans="1:7" ht="70" customHeight="1">
      <c r="A24">
        <v>23</v>
      </c>
    </row>
    <row r="25" spans="1:7" ht="70" customHeight="1">
      <c r="A25">
        <v>24</v>
      </c>
    </row>
    <row r="26" spans="1:7" ht="70" customHeight="1">
      <c r="A26">
        <v>25</v>
      </c>
    </row>
    <row r="27" spans="1:7" ht="70" customHeight="1">
      <c r="A27">
        <v>26</v>
      </c>
    </row>
    <row r="28" spans="1:7" ht="70" customHeight="1">
      <c r="A28">
        <v>27</v>
      </c>
    </row>
    <row r="29" spans="1:7" ht="70" customHeight="1">
      <c r="A29">
        <v>28</v>
      </c>
    </row>
    <row r="30" spans="1:7" ht="70" customHeight="1">
      <c r="A30">
        <v>29</v>
      </c>
    </row>
    <row r="31" spans="1:7" ht="70" customHeight="1">
      <c r="A31">
        <v>30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空仁 野村</dc:creator>
  <cp:lastModifiedBy>空仁 野村</cp:lastModifiedBy>
  <dcterms:created xsi:type="dcterms:W3CDTF">2025-12-11T05:33:13Z</dcterms:created>
  <dcterms:modified xsi:type="dcterms:W3CDTF">2025-12-23T07:10:49Z</dcterms:modified>
</cp:coreProperties>
</file>